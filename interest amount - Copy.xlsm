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LCOT\Downloads\Janani\"/>
    </mc:Choice>
  </mc:AlternateContent>
  <xr:revisionPtr revIDLastSave="0" documentId="13_ncr:1_{F2297B2E-7108-4027-9306-FF3EBA5C3397}" xr6:coauthVersionLast="47" xr6:coauthVersionMax="47" xr10:uidLastSave="{00000000-0000-0000-0000-000000000000}"/>
  <bookViews>
    <workbookView xWindow="990" yWindow="-120" windowWidth="19620" windowHeight="11760" activeTab="2" xr2:uid="{8C5EF13A-7136-479D-827B-6A53A0BE18D3}"/>
  </bookViews>
  <sheets>
    <sheet name=" interest amnt 2" sheetId="1" r:id="rId1"/>
    <sheet name="interest amnt2" sheetId="2" r:id="rId2"/>
    <sheet name="simandcom int" sheetId="3" r:id="rId3"/>
  </sheets>
  <definedNames>
    <definedName name="interest_rate">'simandcom int'!$C$4</definedName>
    <definedName name="ir">'simandcom int'!$C$5</definedName>
    <definedName name="la">'simandcom int'!$C$3</definedName>
    <definedName name="loanam">'simandcom int'!$C$3</definedName>
    <definedName name="noy">'simandcom int'!$C$4</definedName>
    <definedName name="principle__loan_amount">'simandcom int'!$C$3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C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F6" i="2"/>
  <c r="B7" i="2" s="1"/>
  <c r="C7" i="2" s="1"/>
  <c r="D6" i="2"/>
  <c r="B6" i="2"/>
  <c r="F5" i="2"/>
  <c r="E5" i="2"/>
  <c r="D5" i="2"/>
  <c r="C5" i="2"/>
  <c r="C8" i="3"/>
  <c r="C7" i="3"/>
  <c r="E8" i="3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6" i="1"/>
  <c r="C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D5" i="1"/>
  <c r="C5" i="1"/>
  <c r="E5" i="1"/>
  <c r="E7" i="2" l="1"/>
  <c r="F7" i="2"/>
  <c r="B8" i="2" s="1"/>
  <c r="C8" i="2" s="1"/>
  <c r="E8" i="2" l="1"/>
  <c r="F8" i="2"/>
  <c r="B9" i="2" s="1"/>
  <c r="C9" i="2" s="1"/>
  <c r="E9" i="2" l="1"/>
  <c r="F9" i="2"/>
  <c r="B10" i="2" s="1"/>
  <c r="C10" i="2" s="1"/>
  <c r="E10" i="2" l="1"/>
  <c r="F10" i="2"/>
  <c r="B11" i="2" s="1"/>
  <c r="C11" i="2" s="1"/>
  <c r="E11" i="2" l="1"/>
  <c r="F11" i="2"/>
  <c r="B12" i="2" s="1"/>
  <c r="C12" i="2" s="1"/>
  <c r="E12" i="2" l="1"/>
  <c r="F12" i="2"/>
  <c r="B13" i="2" s="1"/>
  <c r="C13" i="2" s="1"/>
  <c r="E13" i="2" l="1"/>
  <c r="F13" i="2"/>
  <c r="B14" i="2" s="1"/>
  <c r="C14" i="2" s="1"/>
  <c r="E14" i="2" s="1"/>
  <c r="F14" i="2" l="1"/>
  <c r="B15" i="2" s="1"/>
  <c r="C15" i="2" s="1"/>
  <c r="E15" i="2" l="1"/>
  <c r="F15" i="2"/>
  <c r="B16" i="2" s="1"/>
  <c r="C16" i="2" s="1"/>
  <c r="E16" i="2" l="1"/>
  <c r="F16" i="2"/>
  <c r="B17" i="2" s="1"/>
  <c r="C17" i="2" s="1"/>
  <c r="E17" i="2" l="1"/>
  <c r="F17" i="2"/>
  <c r="B18" i="2" s="1"/>
  <c r="C18" i="2" s="1"/>
  <c r="E18" i="2" l="1"/>
  <c r="F18" i="2"/>
  <c r="B19" i="2" s="1"/>
  <c r="C19" i="2" l="1"/>
  <c r="E19" i="2" s="1"/>
  <c r="F19" i="2"/>
  <c r="B20" i="2" s="1"/>
  <c r="C20" i="2" l="1"/>
  <c r="E20" i="2" s="1"/>
  <c r="F20" i="2"/>
  <c r="B21" i="2" s="1"/>
  <c r="C21" i="2" l="1"/>
  <c r="E21" i="2" s="1"/>
  <c r="F21" i="2"/>
</calcChain>
</file>

<file path=xl/sharedStrings.xml><?xml version="1.0" encoding="utf-8"?>
<sst xmlns="http://schemas.openxmlformats.org/spreadsheetml/2006/main" count="23" uniqueCount="12">
  <si>
    <t>interest rate</t>
  </si>
  <si>
    <t>s.no</t>
  </si>
  <si>
    <t>interest amount</t>
  </si>
  <si>
    <t>monthly paid</t>
  </si>
  <si>
    <t>principle paid</t>
  </si>
  <si>
    <t>monthly due</t>
  </si>
  <si>
    <t>loan amount</t>
  </si>
  <si>
    <t>balance amount</t>
  </si>
  <si>
    <t>principle /loan amount</t>
  </si>
  <si>
    <t>no of years</t>
  </si>
  <si>
    <t>simple interest</t>
  </si>
  <si>
    <t>compond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</si>
</sst>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10328-0692-455C-9A7C-C74A70F1A54B}">
  <dimension ref="A2:G24"/>
  <sheetViews>
    <sheetView topLeftCell="A2" zoomScaleNormal="100" workbookViewId="0">
      <selection activeCell="F6" sqref="F6"/>
    </sheetView>
  </sheetViews>
  <sheetFormatPr defaultRowHeight="15" x14ac:dyDescent="0.25"/>
  <cols>
    <col min="2" max="2" width="12.85546875" customWidth="1"/>
    <col min="3" max="3" width="15.140625" customWidth="1"/>
    <col min="4" max="4" width="12.28515625" customWidth="1"/>
    <col min="5" max="6" width="17.85546875" customWidth="1"/>
  </cols>
  <sheetData>
    <row r="2" spans="1:7" x14ac:dyDescent="0.25">
      <c r="B2" t="s">
        <v>0</v>
      </c>
      <c r="C2">
        <v>1.6</v>
      </c>
      <c r="D2" t="s">
        <v>6</v>
      </c>
      <c r="E2">
        <v>50000</v>
      </c>
      <c r="F2" t="s">
        <v>5</v>
      </c>
      <c r="G2">
        <v>1845</v>
      </c>
    </row>
    <row r="4" spans="1:7" x14ac:dyDescent="0.25">
      <c r="A4" t="s">
        <v>1</v>
      </c>
      <c r="B4" t="s">
        <v>6</v>
      </c>
      <c r="C4" t="s">
        <v>2</v>
      </c>
      <c r="D4" t="s">
        <v>3</v>
      </c>
      <c r="E4" t="s">
        <v>4</v>
      </c>
      <c r="F4" t="s">
        <v>7</v>
      </c>
    </row>
    <row r="5" spans="1:7" x14ac:dyDescent="0.25">
      <c r="A5">
        <v>1</v>
      </c>
      <c r="B5">
        <v>50000</v>
      </c>
      <c r="C5">
        <f>B5*$C$2/100</f>
        <v>800</v>
      </c>
      <c r="D5">
        <f>$G$2</f>
        <v>1845</v>
      </c>
      <c r="E5">
        <f>D5-C5</f>
        <v>1045</v>
      </c>
      <c r="F5">
        <f>B5-E5</f>
        <v>48955</v>
      </c>
    </row>
    <row r="6" spans="1:7" x14ac:dyDescent="0.25">
      <c r="A6">
        <v>2</v>
      </c>
      <c r="B6">
        <f>F5</f>
        <v>48955</v>
      </c>
      <c r="C6">
        <f>B6*$C$2/100</f>
        <v>783.28</v>
      </c>
      <c r="D6">
        <v>1845</v>
      </c>
      <c r="E6">
        <f>D6-C6</f>
        <v>1061.72</v>
      </c>
      <c r="F6">
        <f>B6-E6</f>
        <v>47893.279999999999</v>
      </c>
    </row>
    <row r="7" spans="1:7" x14ac:dyDescent="0.25">
      <c r="A7">
        <v>3</v>
      </c>
      <c r="B7">
        <f>F6</f>
        <v>47893.279999999999</v>
      </c>
      <c r="C7">
        <f>B7*$C$2/100</f>
        <v>766.29248000000007</v>
      </c>
      <c r="D7">
        <f>$G$2</f>
        <v>1845</v>
      </c>
      <c r="E7">
        <f>D7-C7</f>
        <v>1078.7075199999999</v>
      </c>
      <c r="F7">
        <f>B7-E7</f>
        <v>46814.572480000003</v>
      </c>
    </row>
    <row r="8" spans="1:7" x14ac:dyDescent="0.25">
      <c r="A8">
        <v>4</v>
      </c>
      <c r="B8">
        <f>F7</f>
        <v>46814.572480000003</v>
      </c>
      <c r="C8">
        <f t="shared" ref="C8:C24" si="0">B8*$C$2/100</f>
        <v>749.03315968000015</v>
      </c>
      <c r="D8">
        <f t="shared" ref="D8:D24" si="1">$G$2</f>
        <v>1845</v>
      </c>
      <c r="E8">
        <f>D8-C8</f>
        <v>1095.9668403199998</v>
      </c>
      <c r="F8">
        <f>B8-E8</f>
        <v>45718.605639680005</v>
      </c>
    </row>
    <row r="9" spans="1:7" x14ac:dyDescent="0.25">
      <c r="A9">
        <v>5</v>
      </c>
      <c r="B9">
        <f>F8</f>
        <v>45718.605639680005</v>
      </c>
      <c r="C9">
        <f t="shared" si="0"/>
        <v>731.49769023488011</v>
      </c>
      <c r="D9">
        <f t="shared" si="1"/>
        <v>1845</v>
      </c>
      <c r="E9">
        <f>D9-C9</f>
        <v>1113.5023097651199</v>
      </c>
      <c r="F9">
        <f>B9-E9</f>
        <v>44605.103329914884</v>
      </c>
    </row>
    <row r="10" spans="1:7" x14ac:dyDescent="0.25">
      <c r="A10">
        <v>6</v>
      </c>
      <c r="B10">
        <f t="shared" ref="B10:B18" si="2">F9</f>
        <v>44605.103329914884</v>
      </c>
      <c r="C10">
        <f t="shared" ref="C10:C18" si="3">B10*$C$2/100</f>
        <v>713.68165327863812</v>
      </c>
      <c r="D10">
        <f t="shared" si="1"/>
        <v>1845</v>
      </c>
      <c r="E10">
        <f t="shared" ref="E10:E18" si="4">D10-C10</f>
        <v>1131.3183467213619</v>
      </c>
      <c r="F10">
        <f t="shared" ref="F10:F18" si="5">B10-E10</f>
        <v>43473.784983193524</v>
      </c>
    </row>
    <row r="11" spans="1:7" x14ac:dyDescent="0.25">
      <c r="A11">
        <v>7</v>
      </c>
      <c r="B11">
        <f t="shared" si="2"/>
        <v>43473.784983193524</v>
      </c>
      <c r="C11">
        <f t="shared" si="3"/>
        <v>695.5805597310964</v>
      </c>
      <c r="D11">
        <f t="shared" si="1"/>
        <v>1845</v>
      </c>
      <c r="E11">
        <f t="shared" si="4"/>
        <v>1149.4194402689036</v>
      </c>
      <c r="F11">
        <f t="shared" si="5"/>
        <v>42324.365542924621</v>
      </c>
    </row>
    <row r="12" spans="1:7" x14ac:dyDescent="0.25">
      <c r="A12">
        <v>8</v>
      </c>
      <c r="B12">
        <f t="shared" si="2"/>
        <v>42324.365542924621</v>
      </c>
      <c r="C12">
        <f t="shared" si="3"/>
        <v>677.18984868679399</v>
      </c>
      <c r="D12">
        <f t="shared" si="1"/>
        <v>1845</v>
      </c>
      <c r="E12">
        <f t="shared" si="4"/>
        <v>1167.810151313206</v>
      </c>
      <c r="F12">
        <f t="shared" si="5"/>
        <v>41156.555391611415</v>
      </c>
    </row>
    <row r="13" spans="1:7" x14ac:dyDescent="0.25">
      <c r="A13">
        <v>9</v>
      </c>
      <c r="B13">
        <f t="shared" si="2"/>
        <v>41156.555391611415</v>
      </c>
      <c r="C13">
        <f t="shared" si="3"/>
        <v>658.50488626578272</v>
      </c>
      <c r="D13">
        <f t="shared" si="1"/>
        <v>1845</v>
      </c>
      <c r="E13">
        <f t="shared" si="4"/>
        <v>1186.4951137342173</v>
      </c>
      <c r="F13">
        <f t="shared" si="5"/>
        <v>39970.060277877201</v>
      </c>
    </row>
    <row r="14" spans="1:7" x14ac:dyDescent="0.25">
      <c r="A14">
        <v>10</v>
      </c>
      <c r="B14">
        <f t="shared" si="2"/>
        <v>39970.060277877201</v>
      </c>
      <c r="C14">
        <f t="shared" si="3"/>
        <v>639.52096444603524</v>
      </c>
      <c r="D14">
        <f t="shared" si="1"/>
        <v>1845</v>
      </c>
      <c r="E14">
        <f t="shared" si="4"/>
        <v>1205.4790355539649</v>
      </c>
      <c r="F14">
        <f t="shared" si="5"/>
        <v>38764.581242323235</v>
      </c>
    </row>
    <row r="15" spans="1:7" x14ac:dyDescent="0.25">
      <c r="A15">
        <v>11</v>
      </c>
      <c r="B15">
        <f t="shared" si="2"/>
        <v>38764.581242323235</v>
      </c>
      <c r="C15">
        <f t="shared" si="3"/>
        <v>620.23329987717182</v>
      </c>
      <c r="D15">
        <f t="shared" si="1"/>
        <v>1845</v>
      </c>
      <c r="E15">
        <f t="shared" si="4"/>
        <v>1224.7667001228283</v>
      </c>
      <c r="F15">
        <f t="shared" si="5"/>
        <v>37539.814542200409</v>
      </c>
    </row>
    <row r="16" spans="1:7" x14ac:dyDescent="0.25">
      <c r="A16">
        <v>12</v>
      </c>
      <c r="B16">
        <f t="shared" si="2"/>
        <v>37539.814542200409</v>
      </c>
      <c r="C16">
        <f t="shared" si="3"/>
        <v>600.63703267520657</v>
      </c>
      <c r="D16">
        <f t="shared" si="1"/>
        <v>1845</v>
      </c>
      <c r="E16">
        <f t="shared" si="4"/>
        <v>1244.3629673247933</v>
      </c>
      <c r="F16">
        <f t="shared" si="5"/>
        <v>36295.451574875617</v>
      </c>
    </row>
    <row r="17" spans="1:6" x14ac:dyDescent="0.25">
      <c r="A17">
        <v>13</v>
      </c>
      <c r="B17">
        <f t="shared" si="2"/>
        <v>36295.451574875617</v>
      </c>
      <c r="C17">
        <f t="shared" si="3"/>
        <v>580.72722519800993</v>
      </c>
      <c r="D17">
        <f t="shared" si="1"/>
        <v>1845</v>
      </c>
      <c r="E17">
        <f t="shared" si="4"/>
        <v>1264.2727748019902</v>
      </c>
      <c r="F17">
        <f t="shared" si="5"/>
        <v>35031.178800073627</v>
      </c>
    </row>
    <row r="18" spans="1:6" x14ac:dyDescent="0.25">
      <c r="A18">
        <v>14</v>
      </c>
      <c r="B18">
        <f t="shared" si="2"/>
        <v>35031.178800073627</v>
      </c>
      <c r="C18">
        <f t="shared" si="3"/>
        <v>560.49886080117813</v>
      </c>
      <c r="D18">
        <f t="shared" si="1"/>
        <v>1845</v>
      </c>
      <c r="E18">
        <f t="shared" si="4"/>
        <v>1284.5011391988219</v>
      </c>
      <c r="F18">
        <f t="shared" si="5"/>
        <v>33746.677660874804</v>
      </c>
    </row>
    <row r="19" spans="1:6" x14ac:dyDescent="0.25">
      <c r="A19">
        <v>15</v>
      </c>
      <c r="B19">
        <f t="shared" ref="B19:B24" si="6">F18</f>
        <v>33746.677660874804</v>
      </c>
      <c r="C19">
        <f t="shared" ref="C19:C24" si="7">B19*$C$2/100</f>
        <v>539.94684257399695</v>
      </c>
      <c r="D19">
        <f t="shared" si="1"/>
        <v>1845</v>
      </c>
      <c r="E19">
        <f t="shared" ref="E19:E24" si="8">D19-C19</f>
        <v>1305.0531574260031</v>
      </c>
      <c r="F19">
        <f t="shared" ref="F19:F24" si="9">B19-E19</f>
        <v>32441.624503448802</v>
      </c>
    </row>
    <row r="20" spans="1:6" x14ac:dyDescent="0.25">
      <c r="A20">
        <v>16</v>
      </c>
      <c r="B20">
        <f t="shared" si="6"/>
        <v>32441.624503448802</v>
      </c>
      <c r="C20">
        <f t="shared" si="7"/>
        <v>519.0659920551808</v>
      </c>
      <c r="D20">
        <f t="shared" si="1"/>
        <v>1845</v>
      </c>
      <c r="E20">
        <f t="shared" si="8"/>
        <v>1325.9340079448193</v>
      </c>
      <c r="F20">
        <f t="shared" si="9"/>
        <v>31115.690495503983</v>
      </c>
    </row>
    <row r="21" spans="1:6" x14ac:dyDescent="0.25">
      <c r="A21">
        <v>17</v>
      </c>
      <c r="B21">
        <f t="shared" si="6"/>
        <v>31115.690495503983</v>
      </c>
      <c r="C21">
        <f t="shared" si="7"/>
        <v>497.85104792806379</v>
      </c>
      <c r="D21">
        <f t="shared" si="1"/>
        <v>1845</v>
      </c>
      <c r="E21">
        <f t="shared" si="8"/>
        <v>1347.1489520719363</v>
      </c>
      <c r="F21">
        <f t="shared" si="9"/>
        <v>29768.541543432046</v>
      </c>
    </row>
    <row r="22" spans="1:6" x14ac:dyDescent="0.25">
      <c r="A22">
        <v>18</v>
      </c>
      <c r="B22">
        <f t="shared" si="6"/>
        <v>29768.541543432046</v>
      </c>
      <c r="C22">
        <f t="shared" si="7"/>
        <v>476.29666469491275</v>
      </c>
      <c r="D22">
        <f t="shared" si="1"/>
        <v>1845</v>
      </c>
      <c r="E22">
        <f t="shared" si="8"/>
        <v>1368.7033353050872</v>
      </c>
      <c r="F22">
        <f t="shared" si="9"/>
        <v>28399.838208126959</v>
      </c>
    </row>
    <row r="23" spans="1:6" x14ac:dyDescent="0.25">
      <c r="A23">
        <v>19</v>
      </c>
      <c r="B23">
        <f t="shared" si="6"/>
        <v>28399.838208126959</v>
      </c>
      <c r="C23">
        <f t="shared" si="7"/>
        <v>454.39741133003139</v>
      </c>
      <c r="D23">
        <f t="shared" si="1"/>
        <v>1845</v>
      </c>
      <c r="E23">
        <f t="shared" si="8"/>
        <v>1390.6025886699686</v>
      </c>
      <c r="F23">
        <f t="shared" si="9"/>
        <v>27009.235619456991</v>
      </c>
    </row>
    <row r="24" spans="1:6" x14ac:dyDescent="0.25">
      <c r="A24">
        <v>20</v>
      </c>
      <c r="B24">
        <f t="shared" si="6"/>
        <v>27009.235619456991</v>
      </c>
      <c r="C24">
        <f t="shared" si="7"/>
        <v>432.14776991131191</v>
      </c>
      <c r="D24">
        <f t="shared" si="1"/>
        <v>1845</v>
      </c>
      <c r="E24">
        <f t="shared" si="8"/>
        <v>1412.852230088688</v>
      </c>
      <c r="F24">
        <f t="shared" si="9"/>
        <v>25596.383389368304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9585-87FE-48CC-BED3-605C94E6BEB3}">
  <dimension ref="A2:G21"/>
  <sheetViews>
    <sheetView workbookViewId="0">
      <selection activeCell="M27" sqref="M27"/>
    </sheetView>
  </sheetViews>
  <sheetFormatPr defaultRowHeight="15" x14ac:dyDescent="0.25"/>
  <cols>
    <col min="2" max="2" width="12.5703125" customWidth="1"/>
    <col min="3" max="3" width="15.28515625" customWidth="1"/>
    <col min="4" max="4" width="12.42578125" customWidth="1"/>
    <col min="5" max="5" width="12.7109375" customWidth="1"/>
    <col min="6" max="6" width="15.140625" customWidth="1"/>
  </cols>
  <sheetData>
    <row r="2" spans="1:7" x14ac:dyDescent="0.25">
      <c r="B2" t="s">
        <v>0</v>
      </c>
      <c r="C2">
        <v>2.2000000000000002</v>
      </c>
      <c r="D2" t="s">
        <v>6</v>
      </c>
      <c r="E2">
        <v>70000</v>
      </c>
      <c r="F2" t="s">
        <v>5</v>
      </c>
      <c r="G2">
        <v>3795</v>
      </c>
    </row>
    <row r="4" spans="1:7" x14ac:dyDescent="0.25">
      <c r="A4" t="s">
        <v>1</v>
      </c>
      <c r="B4" t="s">
        <v>6</v>
      </c>
      <c r="C4" t="s">
        <v>2</v>
      </c>
      <c r="D4" t="s">
        <v>3</v>
      </c>
      <c r="E4" t="s">
        <v>4</v>
      </c>
      <c r="F4" t="s">
        <v>7</v>
      </c>
    </row>
    <row r="5" spans="1:7" x14ac:dyDescent="0.25">
      <c r="A5">
        <v>1</v>
      </c>
      <c r="B5">
        <v>70000</v>
      </c>
      <c r="C5">
        <f>B5*$C$2/100</f>
        <v>1540</v>
      </c>
      <c r="D5">
        <f>$G$2</f>
        <v>3795</v>
      </c>
      <c r="E5">
        <f>D5-C5</f>
        <v>2255</v>
      </c>
      <c r="F5">
        <f>B5-E5</f>
        <v>67745</v>
      </c>
    </row>
    <row r="6" spans="1:7" x14ac:dyDescent="0.25">
      <c r="A6">
        <v>2</v>
      </c>
      <c r="B6">
        <f>F5</f>
        <v>67745</v>
      </c>
      <c r="C6">
        <f t="shared" ref="C6:C18" si="0">B6*$C$2/100</f>
        <v>1490.39</v>
      </c>
      <c r="D6">
        <f>$G$2</f>
        <v>3795</v>
      </c>
      <c r="E6">
        <f t="shared" ref="E6:E20" si="1">D6-C6</f>
        <v>2304.6099999999997</v>
      </c>
      <c r="F6">
        <f>B6-E6</f>
        <v>65440.39</v>
      </c>
    </row>
    <row r="7" spans="1:7" x14ac:dyDescent="0.25">
      <c r="A7">
        <v>3</v>
      </c>
      <c r="B7">
        <f t="shared" ref="B7:B21" si="2">F6</f>
        <v>65440.39</v>
      </c>
      <c r="C7">
        <f t="shared" si="0"/>
        <v>1439.68858</v>
      </c>
      <c r="D7">
        <f t="shared" ref="D7:D21" si="3">$G$2</f>
        <v>3795</v>
      </c>
      <c r="E7">
        <f t="shared" si="1"/>
        <v>2355.31142</v>
      </c>
      <c r="F7">
        <f t="shared" ref="F7:F21" si="4">B7-E7</f>
        <v>63085.078580000001</v>
      </c>
    </row>
    <row r="8" spans="1:7" x14ac:dyDescent="0.25">
      <c r="A8">
        <v>4</v>
      </c>
      <c r="B8">
        <f t="shared" si="2"/>
        <v>63085.078580000001</v>
      </c>
      <c r="C8">
        <f t="shared" si="0"/>
        <v>1387.8717287600002</v>
      </c>
      <c r="D8">
        <f t="shared" si="3"/>
        <v>3795</v>
      </c>
      <c r="E8">
        <f t="shared" si="1"/>
        <v>2407.1282712399998</v>
      </c>
      <c r="F8">
        <f t="shared" si="4"/>
        <v>60677.950308760002</v>
      </c>
    </row>
    <row r="9" spans="1:7" x14ac:dyDescent="0.25">
      <c r="A9">
        <v>5</v>
      </c>
      <c r="B9">
        <f t="shared" si="2"/>
        <v>60677.950308760002</v>
      </c>
      <c r="C9">
        <f t="shared" si="0"/>
        <v>1334.9149067927201</v>
      </c>
      <c r="D9">
        <f t="shared" si="3"/>
        <v>3795</v>
      </c>
      <c r="E9">
        <f t="shared" si="1"/>
        <v>2460.0850932072799</v>
      </c>
      <c r="F9">
        <f t="shared" si="4"/>
        <v>58217.865215552723</v>
      </c>
    </row>
    <row r="10" spans="1:7" x14ac:dyDescent="0.25">
      <c r="A10">
        <v>6</v>
      </c>
      <c r="B10">
        <f t="shared" si="2"/>
        <v>58217.865215552723</v>
      </c>
      <c r="C10">
        <f t="shared" si="0"/>
        <v>1280.79303474216</v>
      </c>
      <c r="D10">
        <f t="shared" si="3"/>
        <v>3795</v>
      </c>
      <c r="E10">
        <f t="shared" si="1"/>
        <v>2514.2069652578402</v>
      </c>
      <c r="F10">
        <f t="shared" si="4"/>
        <v>55703.65825029488</v>
      </c>
    </row>
    <row r="11" spans="1:7" x14ac:dyDescent="0.25">
      <c r="A11">
        <v>7</v>
      </c>
      <c r="B11">
        <f t="shared" si="2"/>
        <v>55703.65825029488</v>
      </c>
      <c r="C11">
        <f t="shared" si="0"/>
        <v>1225.4804815064874</v>
      </c>
      <c r="D11">
        <f t="shared" si="3"/>
        <v>3795</v>
      </c>
      <c r="E11">
        <f t="shared" si="1"/>
        <v>2569.5195184935128</v>
      </c>
      <c r="F11">
        <f t="shared" si="4"/>
        <v>53134.138731801366</v>
      </c>
    </row>
    <row r="12" spans="1:7" x14ac:dyDescent="0.25">
      <c r="A12">
        <v>8</v>
      </c>
      <c r="B12">
        <f t="shared" si="2"/>
        <v>53134.138731801366</v>
      </c>
      <c r="C12">
        <f t="shared" si="0"/>
        <v>1168.9510520996303</v>
      </c>
      <c r="D12">
        <f t="shared" si="3"/>
        <v>3795</v>
      </c>
      <c r="E12">
        <f t="shared" si="1"/>
        <v>2626.04894790037</v>
      </c>
      <c r="F12">
        <f t="shared" si="4"/>
        <v>50508.089783900999</v>
      </c>
    </row>
    <row r="13" spans="1:7" x14ac:dyDescent="0.25">
      <c r="A13">
        <v>9</v>
      </c>
      <c r="B13">
        <f t="shared" si="2"/>
        <v>50508.089783900999</v>
      </c>
      <c r="C13">
        <f t="shared" si="0"/>
        <v>1111.1779752458219</v>
      </c>
      <c r="D13">
        <f t="shared" si="3"/>
        <v>3795</v>
      </c>
      <c r="E13">
        <f t="shared" si="1"/>
        <v>2683.8220247541781</v>
      </c>
      <c r="F13">
        <f t="shared" si="4"/>
        <v>47824.267759146824</v>
      </c>
    </row>
    <row r="14" spans="1:7" x14ac:dyDescent="0.25">
      <c r="A14">
        <v>10</v>
      </c>
      <c r="B14">
        <f t="shared" si="2"/>
        <v>47824.267759146824</v>
      </c>
      <c r="C14">
        <f t="shared" si="0"/>
        <v>1052.1338907012303</v>
      </c>
      <c r="D14">
        <f t="shared" si="3"/>
        <v>3795</v>
      </c>
      <c r="E14">
        <f>D14-C14</f>
        <v>2742.8661092987695</v>
      </c>
      <c r="F14">
        <f t="shared" si="4"/>
        <v>45081.401649848056</v>
      </c>
    </row>
    <row r="15" spans="1:7" x14ac:dyDescent="0.25">
      <c r="A15">
        <v>11</v>
      </c>
      <c r="B15">
        <f t="shared" si="2"/>
        <v>45081.401649848056</v>
      </c>
      <c r="C15">
        <f t="shared" si="0"/>
        <v>991.7908362966574</v>
      </c>
      <c r="D15">
        <f t="shared" si="3"/>
        <v>3795</v>
      </c>
      <c r="E15">
        <f t="shared" si="1"/>
        <v>2803.2091637033427</v>
      </c>
      <c r="F15">
        <f t="shared" si="4"/>
        <v>42278.192486144711</v>
      </c>
    </row>
    <row r="16" spans="1:7" x14ac:dyDescent="0.25">
      <c r="A16">
        <v>12</v>
      </c>
      <c r="B16">
        <f t="shared" si="2"/>
        <v>42278.192486144711</v>
      </c>
      <c r="C16">
        <f t="shared" si="0"/>
        <v>930.12023469518374</v>
      </c>
      <c r="D16">
        <f t="shared" si="3"/>
        <v>3795</v>
      </c>
      <c r="E16">
        <f t="shared" si="1"/>
        <v>2864.8797653048164</v>
      </c>
      <c r="F16">
        <f t="shared" si="4"/>
        <v>39413.312720839895</v>
      </c>
    </row>
    <row r="17" spans="1:6" x14ac:dyDescent="0.25">
      <c r="A17">
        <v>13</v>
      </c>
      <c r="B17">
        <f t="shared" si="2"/>
        <v>39413.312720839895</v>
      </c>
      <c r="C17">
        <f t="shared" si="0"/>
        <v>867.09287985847766</v>
      </c>
      <c r="D17">
        <f t="shared" si="3"/>
        <v>3795</v>
      </c>
      <c r="E17">
        <f t="shared" si="1"/>
        <v>2927.9071201415222</v>
      </c>
      <c r="F17">
        <f t="shared" si="4"/>
        <v>36485.405600698374</v>
      </c>
    </row>
    <row r="18" spans="1:6" x14ac:dyDescent="0.25">
      <c r="A18">
        <v>14</v>
      </c>
      <c r="B18">
        <f t="shared" si="2"/>
        <v>36485.405600698374</v>
      </c>
      <c r="C18">
        <f t="shared" si="0"/>
        <v>802.67892321536431</v>
      </c>
      <c r="D18">
        <f t="shared" si="3"/>
        <v>3795</v>
      </c>
      <c r="E18">
        <f t="shared" si="1"/>
        <v>2992.3210767846358</v>
      </c>
      <c r="F18">
        <f t="shared" si="4"/>
        <v>33493.084523913742</v>
      </c>
    </row>
    <row r="19" spans="1:6" x14ac:dyDescent="0.25">
      <c r="A19">
        <v>15</v>
      </c>
      <c r="B19">
        <f t="shared" si="2"/>
        <v>33493.084523913742</v>
      </c>
      <c r="C19">
        <f t="shared" ref="C6:C21" si="5">B19*$C$2/100</f>
        <v>736.84785952610241</v>
      </c>
      <c r="D19">
        <f t="shared" si="3"/>
        <v>3795</v>
      </c>
      <c r="E19">
        <f t="shared" si="1"/>
        <v>3058.1521404738978</v>
      </c>
      <c r="F19">
        <f t="shared" si="4"/>
        <v>30434.932383439846</v>
      </c>
    </row>
    <row r="20" spans="1:6" x14ac:dyDescent="0.25">
      <c r="A20">
        <v>16</v>
      </c>
      <c r="B20">
        <f t="shared" si="2"/>
        <v>30434.932383439846</v>
      </c>
      <c r="C20">
        <f t="shared" si="5"/>
        <v>669.56851243567667</v>
      </c>
      <c r="D20">
        <f t="shared" si="3"/>
        <v>3795</v>
      </c>
      <c r="E20">
        <f t="shared" si="1"/>
        <v>3125.4314875643231</v>
      </c>
      <c r="F20">
        <f t="shared" si="4"/>
        <v>27309.500895875521</v>
      </c>
    </row>
    <row r="21" spans="1:6" x14ac:dyDescent="0.25">
      <c r="A21">
        <v>17</v>
      </c>
      <c r="B21">
        <f t="shared" si="2"/>
        <v>27309.500895875521</v>
      </c>
      <c r="C21">
        <f t="shared" si="5"/>
        <v>600.80901970926152</v>
      </c>
      <c r="D21">
        <f t="shared" si="3"/>
        <v>3795</v>
      </c>
      <c r="E21">
        <f>D21-C21</f>
        <v>3194.1909802907385</v>
      </c>
      <c r="F21">
        <f t="shared" si="4"/>
        <v>24115.309915584781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4404E-034F-4004-A730-EE996C832F49}">
  <dimension ref="B3:E8"/>
  <sheetViews>
    <sheetView tabSelected="1" workbookViewId="0">
      <selection activeCell="E8" sqref="E8"/>
    </sheetView>
  </sheetViews>
  <sheetFormatPr defaultRowHeight="15" x14ac:dyDescent="0.25"/>
  <cols>
    <col min="1" max="1" width="9.140625" customWidth="1"/>
    <col min="2" max="2" width="31.85546875" customWidth="1"/>
    <col min="3" max="3" width="22.85546875" customWidth="1"/>
  </cols>
  <sheetData>
    <row r="3" spans="2:5" x14ac:dyDescent="0.25">
      <c r="B3" t="s">
        <v>8</v>
      </c>
      <c r="C3">
        <v>100000</v>
      </c>
    </row>
    <row r="4" spans="2:5" x14ac:dyDescent="0.25">
      <c r="B4" t="s">
        <v>0</v>
      </c>
      <c r="C4">
        <v>10</v>
      </c>
    </row>
    <row r="5" spans="2:5" x14ac:dyDescent="0.25">
      <c r="B5" t="s">
        <v>9</v>
      </c>
      <c r="C5">
        <v>3</v>
      </c>
    </row>
    <row r="7" spans="2:5" x14ac:dyDescent="0.25">
      <c r="B7" t="s">
        <v>10</v>
      </c>
      <c r="C7">
        <f>la+(la*noy*ir)/100</f>
        <v>130000</v>
      </c>
    </row>
    <row r="8" spans="2:5" x14ac:dyDescent="0.25">
      <c r="B8" t="s">
        <v>11</v>
      </c>
      <c r="C8">
        <f>(la*(1+(noy/100))^ir)</f>
        <v>133100.00000000003</v>
      </c>
      <c r="E8">
        <f>C8-C7</f>
        <v>3100.0000000000291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 interest amnt 2</vt:lpstr>
      <vt:lpstr>interest amnt2</vt:lpstr>
      <vt:lpstr>simandcom int</vt:lpstr>
      <vt:lpstr>interest_rate</vt:lpstr>
      <vt:lpstr>ir</vt:lpstr>
      <vt:lpstr>la</vt:lpstr>
      <vt:lpstr>loanam</vt:lpstr>
      <vt:lpstr>noy</vt:lpstr>
      <vt:lpstr>principle__loan_amount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ELCOT</dc:creator>
  <cp:lastModifiedBy>ELCOT</cp:lastModifiedBy>
  <dcterms:created xsi:type="dcterms:W3CDTF">2025-12-15T10:29:01Z</dcterms:created>
  <dcterms:modified xsi:type="dcterms:W3CDTF">2025-12-15T12:21:28Z</dcterms:modified>
</cp:coreProperties>
</file>